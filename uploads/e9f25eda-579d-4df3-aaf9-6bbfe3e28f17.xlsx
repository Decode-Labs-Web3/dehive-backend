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<sst xmlns="http://schemas.openxmlformats.org/spreadsheetml/2006/main" count="35" uniqueCount="35">
  <si>
    <t>Your Name</t>
  </si>
  <si>
    <t>Term</t>
  </si>
  <si>
    <t>Title</t>
  </si>
  <si>
    <t>Credit</t>
  </si>
  <si>
    <t>Grade (fill this)</t>
  </si>
  <si>
    <t>Weight</t>
  </si>
  <si>
    <t>Stage Weight</t>
  </si>
  <si>
    <t>Mathematics for Computer Science</t>
  </si>
  <si>
    <t>Principles of Software Engineering</t>
  </si>
  <si>
    <t>Programming Foundations</t>
  </si>
  <si>
    <t>Introduction to Computer Science and its Applications</t>
  </si>
  <si>
    <t>Systems Development</t>
  </si>
  <si>
    <t>Principles of Security</t>
  </si>
  <si>
    <t>Computer Systems and Internet Technologies</t>
  </si>
  <si>
    <t>Object Oriented Programming</t>
  </si>
  <si>
    <t>Web Programming 1</t>
  </si>
  <si>
    <t>Professional Project Management</t>
  </si>
  <si>
    <t>User Interface Design</t>
  </si>
  <si>
    <t>Application Development</t>
  </si>
  <si>
    <t>Agile Development with SCRUM</t>
  </si>
  <si>
    <t>Data and Web Analytics</t>
  </si>
  <si>
    <t>Web Programming 2</t>
  </si>
  <si>
    <t>Information Analysis and Visualisation</t>
  </si>
  <si>
    <t>Information and Content Management</t>
  </si>
  <si>
    <t>Human Computer Interaction and Design</t>
  </si>
  <si>
    <t>Mobile Application Design and Development</t>
  </si>
  <si>
    <t>Requirements Management</t>
  </si>
  <si>
    <t>Final Year Projects</t>
  </si>
  <si>
    <t>Your 6 highest score (Final Project max 4 cells) from TERM 7 to TERM 9 (fill this)</t>
  </si>
  <si>
    <t>GPA (first method)</t>
  </si>
  <si>
    <t>GPA (second method)</t>
  </si>
  <si>
    <t>Final GPA (take the highest method)</t>
  </si>
  <si>
    <t>Honours</t>
  </si>
  <si>
    <t>README</t>
  </si>
  <si>
    <r>
      <rPr>
        <rFont val="Arial"/>
        <b/>
        <color theme="1"/>
      </rPr>
      <t xml:space="preserve">🎓 GPA &amp; Honours Calculator – Quick Guide
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1. Enter Grades
</t>
    </r>
    <r>
      <rPr>
        <rFont val="Arial"/>
        <color theme="1"/>
      </rPr>
      <t xml:space="preserve">Fill your grades (%) in Column E next to each course (use transcript).
</t>
    </r>
    <r>
      <rPr>
        <rFont val="Arial"/>
        <b/>
        <color theme="1"/>
      </rPr>
      <t xml:space="preserve">2. Stage 2 (Terms 4–6)
</t>
    </r>
    <r>
      <rPr>
        <rFont val="Arial"/>
        <color theme="1"/>
      </rPr>
      <t xml:space="preserve">Enter all module grades → forms your Stage 2 average.
</t>
    </r>
    <r>
      <rPr>
        <rFont val="Arial"/>
        <b/>
        <color theme="1"/>
      </rPr>
      <t xml:space="preserve">3. Stage 3 (Terms 7–9)
</t>
    </r>
    <r>
      <rPr>
        <rFont val="Arial"/>
        <color theme="1"/>
      </rPr>
      <t xml:space="preserve">Enter all module grades including Final Year Project (FYP).
</t>
    </r>
    <r>
      <rPr>
        <rFont val="Arial"/>
        <b/>
        <color theme="1"/>
      </rPr>
      <t xml:space="preserve">4. Pick Best 90 Credits
</t>
    </r>
    <r>
      <rPr>
        <rFont val="Arial"/>
        <color theme="1"/>
      </rPr>
      <t xml:space="preserve">In Row 25, hand pick your 6 highest modules (each = 15 credits).
If using the FYP (60 credits), fill its grade in 4 boxes.
</t>
    </r>
    <r>
      <rPr>
        <rFont val="Arial"/>
        <b/>
        <color theme="1"/>
      </rPr>
      <t xml:space="preserve">5. Results
</t>
    </r>
    <r>
      <rPr>
        <rFont val="Arial"/>
        <color theme="1"/>
      </rPr>
      <t xml:space="preserve">Sheet calculates both 20:80 and 10:90 algorithms.
Higher score is chosen as final GPA.
</t>
    </r>
    <r>
      <rPr>
        <rFont val="Arial"/>
        <b/>
        <color theme="1"/>
      </rPr>
      <t xml:space="preserve">6. Honours
</t>
    </r>
    <r>
      <rPr>
        <rFont val="Arial"/>
        <color theme="1"/>
      </rPr>
      <t>70+ = First, 60–69 = 2:1, 50–59 = 2:2, 40–49 = Third, &lt;40 = Fail.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</si>
</sst>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vertical="bottom"/>
    </xf>
    <xf borderId="4" fillId="2" fontId="1" numFmtId="0" xfId="0" applyAlignment="1" applyBorder="1" applyFont="1">
      <alignment readingOrder="0" vertical="bottom"/>
    </xf>
    <xf borderId="5" fillId="3" fontId="3" numFmtId="0" xfId="0" applyAlignment="1" applyBorder="1" applyFill="1" applyFont="1">
      <alignment horizontal="right" vertical="bottom"/>
    </xf>
    <xf borderId="4" fillId="3" fontId="3" numFmtId="0" xfId="0" applyAlignment="1" applyBorder="1" applyFont="1">
      <alignment vertical="bottom"/>
    </xf>
    <xf borderId="4" fillId="3" fontId="3" numFmtId="0" xfId="0" applyAlignment="1" applyBorder="1" applyFont="1">
      <alignment horizontal="right" vertical="bottom"/>
    </xf>
    <xf borderId="4" fillId="3" fontId="3" numFmtId="0" xfId="0" applyAlignment="1" applyBorder="1" applyFont="1">
      <alignment horizontal="right" readingOrder="0" vertical="bottom"/>
    </xf>
    <xf borderId="6" fillId="3" fontId="3" numFmtId="0" xfId="0" applyAlignment="1" applyBorder="1" applyFont="1">
      <alignment horizontal="right" vertical="bottom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2" fillId="3" fontId="3" numFmtId="0" xfId="0" applyAlignment="1" applyBorder="1" applyFont="1">
      <alignment horizontal="right" vertical="bottom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2" fillId="4" fontId="3" numFmtId="0" xfId="0" applyAlignment="1" applyBorder="1" applyFill="1" applyFont="1">
      <alignment horizontal="right" vertical="bottom"/>
    </xf>
    <xf borderId="4" fillId="4" fontId="3" numFmtId="0" xfId="0" applyAlignment="1" applyBorder="1" applyFont="1">
      <alignment vertical="bottom"/>
    </xf>
    <xf borderId="4" fillId="4" fontId="3" numFmtId="0" xfId="0" applyAlignment="1" applyBorder="1" applyFont="1">
      <alignment horizontal="right" vertical="bottom"/>
    </xf>
    <xf borderId="6" fillId="4" fontId="3" numFmtId="0" xfId="0" applyAlignment="1" applyBorder="1" applyFont="1">
      <alignment horizontal="right" vertical="bottom"/>
    </xf>
    <xf borderId="12" fillId="5" fontId="3" numFmtId="0" xfId="0" applyAlignment="1" applyBorder="1" applyFill="1" applyFont="1">
      <alignment horizontal="right" vertical="bottom"/>
    </xf>
    <xf borderId="4" fillId="5" fontId="3" numFmtId="0" xfId="0" applyAlignment="1" applyBorder="1" applyFont="1">
      <alignment vertical="bottom"/>
    </xf>
    <xf borderId="4" fillId="5" fontId="3" numFmtId="0" xfId="0" applyAlignment="1" applyBorder="1" applyFont="1">
      <alignment horizontal="right" vertical="bottom"/>
    </xf>
    <xf borderId="6" fillId="5" fontId="3" numFmtId="0" xfId="0" applyAlignment="1" applyBorder="1" applyFont="1">
      <alignment horizontal="right" vertical="bottom"/>
    </xf>
    <xf borderId="5" fillId="5" fontId="3" numFmtId="0" xfId="0" applyAlignment="1" applyBorder="1" applyFont="1">
      <alignment horizontal="right" vertical="bottom"/>
    </xf>
    <xf borderId="1" fillId="6" fontId="1" numFmtId="0" xfId="0" applyAlignment="1" applyBorder="1" applyFill="1" applyFont="1">
      <alignment readingOrder="0" vertical="bottom"/>
    </xf>
    <xf borderId="4" fillId="6" fontId="1" numFmtId="0" xfId="0" applyAlignment="1" applyBorder="1" applyFont="1">
      <alignment horizontal="right" readingOrder="0" vertical="bottom"/>
    </xf>
    <xf borderId="1" fillId="7" fontId="1" numFmtId="0" xfId="0" applyAlignment="1" applyBorder="1" applyFill="1" applyFont="1">
      <alignment vertical="bottom"/>
    </xf>
    <xf borderId="1" fillId="7" fontId="1" numFmtId="4" xfId="0" applyAlignment="1" applyBorder="1" applyFont="1" applyNumberFormat="1">
      <alignment horizontal="right" vertical="bottom"/>
    </xf>
    <xf borderId="1" fillId="7" fontId="1" numFmtId="49" xfId="0" applyAlignment="1" applyBorder="1" applyFont="1" applyNumberFormat="1">
      <alignment vertical="bottom"/>
    </xf>
    <xf borderId="6" fillId="8" fontId="4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75"/>
    <col customWidth="1" min="3" max="3" width="59.25"/>
    <col customWidth="1" min="5" max="5" width="14.75"/>
    <col customWidth="1" min="8" max="8" width="12.88"/>
    <col customWidth="1" min="9" max="9" width="9.5"/>
  </cols>
  <sheetData>
    <row r="2">
      <c r="B2" s="1" t="s">
        <v>0</v>
      </c>
      <c r="C2" s="2"/>
      <c r="D2" s="2"/>
      <c r="E2" s="2"/>
      <c r="F2" s="2"/>
      <c r="G2" s="2"/>
      <c r="H2" s="2"/>
      <c r="I2" s="3"/>
    </row>
    <row r="3">
      <c r="B3" s="4" t="s">
        <v>1</v>
      </c>
      <c r="C3" s="4" t="s">
        <v>2</v>
      </c>
      <c r="D3" s="4" t="s">
        <v>3</v>
      </c>
      <c r="E3" s="5" t="s">
        <v>4</v>
      </c>
      <c r="F3" s="4" t="s">
        <v>5</v>
      </c>
      <c r="G3" s="1" t="s">
        <v>6</v>
      </c>
      <c r="H3" s="2"/>
      <c r="I3" s="3"/>
    </row>
    <row r="4">
      <c r="B4" s="6">
        <v>1.0</v>
      </c>
      <c r="C4" s="7" t="s">
        <v>7</v>
      </c>
      <c r="D4" s="8">
        <v>15.0</v>
      </c>
      <c r="E4" s="9">
        <v>0.0</v>
      </c>
      <c r="F4" s="8">
        <f t="shared" ref="F4:F24" si="1"> D4*E4</f>
        <v>0</v>
      </c>
      <c r="G4" s="10">
        <f> SUM(F4:F11)/SUM(D4:D11)</f>
        <v>0</v>
      </c>
      <c r="H4" s="11"/>
      <c r="I4" s="12"/>
    </row>
    <row r="5">
      <c r="B5" s="13"/>
      <c r="C5" s="7" t="s">
        <v>8</v>
      </c>
      <c r="D5" s="8">
        <v>15.0</v>
      </c>
      <c r="E5" s="8"/>
      <c r="F5" s="8">
        <f t="shared" si="1"/>
        <v>0</v>
      </c>
      <c r="G5" s="14"/>
      <c r="I5" s="15"/>
    </row>
    <row r="6">
      <c r="B6" s="6">
        <v>2.0</v>
      </c>
      <c r="C6" s="7" t="s">
        <v>9</v>
      </c>
      <c r="D6" s="8">
        <v>15.0</v>
      </c>
      <c r="E6" s="8"/>
      <c r="F6" s="8">
        <f t="shared" si="1"/>
        <v>0</v>
      </c>
      <c r="G6" s="14"/>
      <c r="I6" s="15"/>
    </row>
    <row r="7">
      <c r="B7" s="16"/>
      <c r="C7" s="7" t="s">
        <v>10</v>
      </c>
      <c r="D7" s="8">
        <v>15.0</v>
      </c>
      <c r="E7" s="8"/>
      <c r="F7" s="8">
        <f t="shared" si="1"/>
        <v>0</v>
      </c>
      <c r="G7" s="14"/>
      <c r="I7" s="15"/>
    </row>
    <row r="8">
      <c r="B8" s="13"/>
      <c r="C8" s="7" t="s">
        <v>11</v>
      </c>
      <c r="D8" s="8">
        <v>15.0</v>
      </c>
      <c r="E8" s="8"/>
      <c r="F8" s="8">
        <f t="shared" si="1"/>
        <v>0</v>
      </c>
      <c r="G8" s="14"/>
      <c r="I8" s="15"/>
    </row>
    <row r="9">
      <c r="B9" s="17">
        <v>3.0</v>
      </c>
      <c r="C9" s="7" t="s">
        <v>12</v>
      </c>
      <c r="D9" s="8">
        <v>15.0</v>
      </c>
      <c r="E9" s="8"/>
      <c r="F9" s="8">
        <f t="shared" si="1"/>
        <v>0</v>
      </c>
      <c r="G9" s="14"/>
      <c r="I9" s="15"/>
    </row>
    <row r="10">
      <c r="B10" s="16"/>
      <c r="C10" s="7" t="s">
        <v>13</v>
      </c>
      <c r="D10" s="8">
        <v>15.0</v>
      </c>
      <c r="E10" s="8"/>
      <c r="F10" s="8">
        <f t="shared" si="1"/>
        <v>0</v>
      </c>
      <c r="G10" s="14"/>
      <c r="I10" s="15"/>
    </row>
    <row r="11">
      <c r="B11" s="13"/>
      <c r="C11" s="7" t="s">
        <v>14</v>
      </c>
      <c r="D11" s="8">
        <v>15.0</v>
      </c>
      <c r="E11" s="8"/>
      <c r="F11" s="8">
        <f t="shared" si="1"/>
        <v>0</v>
      </c>
      <c r="G11" s="18"/>
      <c r="H11" s="19"/>
      <c r="I11" s="20"/>
    </row>
    <row r="12">
      <c r="B12" s="21">
        <v>4.0</v>
      </c>
      <c r="C12" s="22" t="s">
        <v>15</v>
      </c>
      <c r="D12" s="23">
        <v>15.0</v>
      </c>
      <c r="E12" s="23"/>
      <c r="F12" s="23">
        <f t="shared" si="1"/>
        <v>0</v>
      </c>
      <c r="G12" s="24">
        <f> SUM(F12:F19)/SUM(D12:D19)</f>
        <v>0</v>
      </c>
      <c r="H12" s="11"/>
      <c r="I12" s="12"/>
    </row>
    <row r="13">
      <c r="B13" s="16"/>
      <c r="C13" s="22" t="s">
        <v>16</v>
      </c>
      <c r="D13" s="23">
        <v>15.0</v>
      </c>
      <c r="E13" s="23"/>
      <c r="F13" s="23">
        <f t="shared" si="1"/>
        <v>0</v>
      </c>
      <c r="G13" s="14"/>
      <c r="I13" s="15"/>
    </row>
    <row r="14">
      <c r="B14" s="13"/>
      <c r="C14" s="22" t="s">
        <v>17</v>
      </c>
      <c r="D14" s="23">
        <v>15.0</v>
      </c>
      <c r="E14" s="23"/>
      <c r="F14" s="23">
        <f t="shared" si="1"/>
        <v>0</v>
      </c>
      <c r="G14" s="14"/>
      <c r="I14" s="15"/>
    </row>
    <row r="15">
      <c r="B15" s="21">
        <v>5.0</v>
      </c>
      <c r="C15" s="22" t="s">
        <v>18</v>
      </c>
      <c r="D15" s="23">
        <v>15.0</v>
      </c>
      <c r="E15" s="23"/>
      <c r="F15" s="23">
        <f t="shared" si="1"/>
        <v>0</v>
      </c>
      <c r="G15" s="14"/>
      <c r="I15" s="15"/>
    </row>
    <row r="16">
      <c r="B16" s="16"/>
      <c r="C16" s="22" t="s">
        <v>19</v>
      </c>
      <c r="D16" s="23">
        <v>15.0</v>
      </c>
      <c r="E16" s="23"/>
      <c r="F16" s="23">
        <f t="shared" si="1"/>
        <v>0</v>
      </c>
      <c r="G16" s="14"/>
      <c r="I16" s="15"/>
    </row>
    <row r="17">
      <c r="B17" s="13"/>
      <c r="C17" s="22" t="s">
        <v>20</v>
      </c>
      <c r="D17" s="23">
        <v>15.0</v>
      </c>
      <c r="E17" s="23"/>
      <c r="F17" s="23">
        <f t="shared" si="1"/>
        <v>0</v>
      </c>
      <c r="G17" s="14"/>
      <c r="I17" s="15"/>
    </row>
    <row r="18">
      <c r="B18" s="21">
        <v>6.0</v>
      </c>
      <c r="C18" s="22" t="s">
        <v>21</v>
      </c>
      <c r="D18" s="23">
        <v>15.0</v>
      </c>
      <c r="E18" s="23"/>
      <c r="F18" s="23">
        <f t="shared" si="1"/>
        <v>0</v>
      </c>
      <c r="G18" s="14"/>
      <c r="I18" s="15"/>
    </row>
    <row r="19">
      <c r="B19" s="13"/>
      <c r="C19" s="22" t="s">
        <v>22</v>
      </c>
      <c r="D19" s="23">
        <v>15.0</v>
      </c>
      <c r="E19" s="23"/>
      <c r="F19" s="23">
        <f t="shared" si="1"/>
        <v>0</v>
      </c>
      <c r="G19" s="18"/>
      <c r="H19" s="19"/>
      <c r="I19" s="20"/>
    </row>
    <row r="20">
      <c r="B20" s="25">
        <v>7.0</v>
      </c>
      <c r="C20" s="26" t="s">
        <v>23</v>
      </c>
      <c r="D20" s="27">
        <v>15.0</v>
      </c>
      <c r="E20" s="27"/>
      <c r="F20" s="27">
        <f t="shared" si="1"/>
        <v>0</v>
      </c>
      <c r="G20" s="28">
        <f> SUM(F20:F24)/SUM(D20:D24)</f>
        <v>0</v>
      </c>
      <c r="H20" s="11"/>
      <c r="I20" s="12"/>
    </row>
    <row r="21">
      <c r="B21" s="13"/>
      <c r="C21" s="26" t="s">
        <v>24</v>
      </c>
      <c r="D21" s="27">
        <v>15.0</v>
      </c>
      <c r="E21" s="27"/>
      <c r="F21" s="27">
        <f t="shared" si="1"/>
        <v>0</v>
      </c>
      <c r="G21" s="14"/>
      <c r="I21" s="15"/>
    </row>
    <row r="22">
      <c r="B22" s="29">
        <v>8.0</v>
      </c>
      <c r="C22" s="26" t="s">
        <v>25</v>
      </c>
      <c r="D22" s="27">
        <v>15.0</v>
      </c>
      <c r="E22" s="27"/>
      <c r="F22" s="27">
        <f t="shared" si="1"/>
        <v>0</v>
      </c>
      <c r="G22" s="14"/>
      <c r="I22" s="15"/>
    </row>
    <row r="23">
      <c r="B23" s="13"/>
      <c r="C23" s="26" t="s">
        <v>26</v>
      </c>
      <c r="D23" s="27">
        <v>15.0</v>
      </c>
      <c r="E23" s="27"/>
      <c r="F23" s="27">
        <f t="shared" si="1"/>
        <v>0</v>
      </c>
      <c r="G23" s="14"/>
      <c r="I23" s="15"/>
    </row>
    <row r="24">
      <c r="B24" s="27">
        <v>9.0</v>
      </c>
      <c r="C24" s="26" t="s">
        <v>27</v>
      </c>
      <c r="D24" s="27">
        <v>60.0</v>
      </c>
      <c r="E24" s="27"/>
      <c r="F24" s="27">
        <f t="shared" si="1"/>
        <v>0</v>
      </c>
      <c r="G24" s="18"/>
      <c r="H24" s="19"/>
      <c r="I24" s="20"/>
    </row>
    <row r="25">
      <c r="B25" s="30" t="s">
        <v>28</v>
      </c>
      <c r="C25" s="3"/>
      <c r="D25" s="31">
        <v>0.0</v>
      </c>
      <c r="E25" s="31"/>
      <c r="F25" s="31"/>
      <c r="G25" s="31"/>
      <c r="H25" s="31"/>
      <c r="I25" s="31"/>
    </row>
    <row r="26">
      <c r="B26" s="32" t="s">
        <v>29</v>
      </c>
      <c r="C26" s="3"/>
      <c r="D26" s="33">
        <f> ((G12*20) + (SUM(D25:I25)/6)*80)/100</f>
        <v>0</v>
      </c>
      <c r="E26" s="2"/>
      <c r="F26" s="2"/>
      <c r="G26" s="2"/>
      <c r="H26" s="2"/>
      <c r="I26" s="3"/>
    </row>
    <row r="27">
      <c r="B27" s="32" t="s">
        <v>30</v>
      </c>
      <c r="C27" s="3"/>
      <c r="D27" s="33">
        <f> ((G12*10) + (SUM(D25:I25)/6)*90)/100</f>
        <v>0</v>
      </c>
      <c r="E27" s="2"/>
      <c r="F27" s="2"/>
      <c r="G27" s="2"/>
      <c r="H27" s="2"/>
      <c r="I27" s="3"/>
    </row>
    <row r="28">
      <c r="B28" s="32" t="s">
        <v>31</v>
      </c>
      <c r="C28" s="3"/>
      <c r="D28" s="33">
        <f>MAX(D26,D27)</f>
        <v>0</v>
      </c>
      <c r="E28" s="2"/>
      <c r="F28" s="2"/>
      <c r="G28" s="2"/>
      <c r="H28" s="2"/>
      <c r="I28" s="3"/>
    </row>
    <row r="29">
      <c r="B29" s="32" t="s">
        <v>32</v>
      </c>
      <c r="C29" s="3"/>
      <c r="D29" s="34" t="str">
        <f>IF(D28&gt;=70,"First Class Honours",
   IF(D28&gt;=60,"Upper Second Class Honours (2:1)",
   IF(D28&gt;=50,"Lower Second Class Honours (2:2)",
   IF(D28&gt;=40,"Third Class Honours",
   "Fail"))))
</f>
        <v>Fail</v>
      </c>
      <c r="E29" s="2"/>
      <c r="F29" s="2"/>
      <c r="G29" s="2"/>
      <c r="H29" s="2"/>
      <c r="I29" s="3"/>
    </row>
    <row r="33">
      <c r="B33" s="35" t="s">
        <v>33</v>
      </c>
      <c r="C33" s="11"/>
      <c r="D33" s="11"/>
      <c r="E33" s="12"/>
    </row>
    <row r="34">
      <c r="B34" s="18"/>
      <c r="C34" s="19"/>
      <c r="D34" s="19"/>
      <c r="E34" s="20"/>
    </row>
    <row r="35">
      <c r="B35" s="36" t="s">
        <v>34</v>
      </c>
      <c r="C35" s="2"/>
      <c r="D35" s="2"/>
      <c r="E35" s="3"/>
    </row>
    <row r="36">
      <c r="C36" s="37"/>
      <c r="D36" s="37"/>
      <c r="E36" s="37"/>
    </row>
    <row r="37">
      <c r="C37" s="37"/>
      <c r="D37" s="37"/>
      <c r="E37" s="37"/>
    </row>
    <row r="38">
      <c r="C38" s="37"/>
      <c r="D38" s="37"/>
      <c r="E38" s="37"/>
    </row>
    <row r="39">
      <c r="C39" s="37"/>
      <c r="D39" s="37"/>
      <c r="E39" s="37"/>
    </row>
    <row r="40">
      <c r="C40" s="37"/>
      <c r="D40" s="37"/>
      <c r="E40" s="37"/>
    </row>
    <row r="41">
      <c r="C41" s="37"/>
      <c r="D41" s="37"/>
      <c r="E41" s="37"/>
    </row>
    <row r="42">
      <c r="C42" s="37"/>
      <c r="D42" s="37"/>
      <c r="E42" s="37"/>
    </row>
    <row r="43">
      <c r="C43" s="37"/>
      <c r="D43" s="37"/>
      <c r="E43" s="37"/>
    </row>
    <row r="44">
      <c r="C44" s="37"/>
      <c r="D44" s="37"/>
      <c r="E44" s="37"/>
    </row>
    <row r="45">
      <c r="C45" s="37"/>
      <c r="D45" s="37"/>
      <c r="E45" s="37"/>
    </row>
    <row r="46">
      <c r="C46" s="37"/>
      <c r="D46" s="37"/>
      <c r="E46" s="37"/>
    </row>
    <row r="47">
      <c r="C47" s="37"/>
      <c r="D47" s="37"/>
      <c r="E47" s="37"/>
    </row>
    <row r="48">
      <c r="C48" s="37"/>
      <c r="D48" s="37"/>
      <c r="E48" s="37"/>
    </row>
    <row r="49">
      <c r="C49" s="37"/>
      <c r="D49" s="37"/>
      <c r="E49" s="37"/>
    </row>
    <row r="50">
      <c r="C50" s="37"/>
      <c r="D50" s="37"/>
      <c r="E50" s="37"/>
    </row>
    <row r="51">
      <c r="C51" s="37"/>
      <c r="D51" s="37"/>
      <c r="E51" s="37"/>
    </row>
    <row r="52">
      <c r="C52" s="37"/>
      <c r="D52" s="37"/>
      <c r="E52" s="37"/>
    </row>
    <row r="53">
      <c r="C53" s="37"/>
      <c r="D53" s="37"/>
      <c r="E53" s="37"/>
    </row>
    <row r="54">
      <c r="C54" s="37"/>
      <c r="D54" s="37"/>
      <c r="E54" s="37"/>
    </row>
    <row r="55">
      <c r="C55" s="37"/>
      <c r="D55" s="37"/>
      <c r="E55" s="37"/>
    </row>
    <row r="56">
      <c r="C56" s="37"/>
      <c r="D56" s="37"/>
      <c r="E56" s="37"/>
    </row>
    <row r="57">
      <c r="C57" s="37"/>
      <c r="D57" s="37"/>
      <c r="E57" s="37"/>
    </row>
    <row r="58">
      <c r="C58" s="37"/>
      <c r="D58" s="37"/>
      <c r="E58" s="37"/>
    </row>
    <row r="59">
      <c r="C59" s="37"/>
      <c r="D59" s="37"/>
      <c r="E59" s="37"/>
    </row>
  </sheetData>
  <mergeCells count="24">
    <mergeCell ref="G12:I19"/>
    <mergeCell ref="G20:I24"/>
    <mergeCell ref="D26:I26"/>
    <mergeCell ref="D27:I27"/>
    <mergeCell ref="D28:I28"/>
    <mergeCell ref="D29:I29"/>
    <mergeCell ref="B2:I2"/>
    <mergeCell ref="G3:I3"/>
    <mergeCell ref="B4:B5"/>
    <mergeCell ref="G4:I11"/>
    <mergeCell ref="B6:B8"/>
    <mergeCell ref="B9:B11"/>
    <mergeCell ref="B18:B19"/>
    <mergeCell ref="B28:C28"/>
    <mergeCell ref="B29:C29"/>
    <mergeCell ref="B33:E34"/>
    <mergeCell ref="B35:E35"/>
    <mergeCell ref="B12:B14"/>
    <mergeCell ref="B15:B17"/>
    <mergeCell ref="B20:B21"/>
    <mergeCell ref="B22:B23"/>
    <mergeCell ref="B25:C25"/>
    <mergeCell ref="B26:C26"/>
    <mergeCell ref="B27:C27"/>
  </mergeCells>
  <drawing r:id="rId1"/>
</worksheet>
</file>